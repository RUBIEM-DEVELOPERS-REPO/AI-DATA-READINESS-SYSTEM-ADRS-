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JOME TECH\Quotations\"/>
    </mc:Choice>
  </mc:AlternateContent>
  <bookViews>
    <workbookView xWindow="24" yWindow="24" windowWidth="23016" windowHeight="12216"/>
  </bookViews>
  <sheets>
    <sheet name="Proforma" sheetId="2" r:id="rId1"/>
  </sheets>
  <externalReferences>
    <externalReference r:id="rId2"/>
  </externalReferences>
  <definedNames>
    <definedName name="__IntlFixup" hidden="1">TRUE</definedName>
    <definedName name="data1" localSheetId="0">Proforma!#REF!</definedName>
    <definedName name="data1">#REF!</definedName>
    <definedName name="data10" localSheetId="0">Proforma!#REF!</definedName>
    <definedName name="data10">#REF!</definedName>
    <definedName name="data11" localSheetId="0">Proforma!#REF!</definedName>
    <definedName name="data11">#REF!</definedName>
    <definedName name="data12" localSheetId="0">Proforma!#REF!</definedName>
    <definedName name="data12">#REF!</definedName>
    <definedName name="data13" localSheetId="0">Proforma!#REF!</definedName>
    <definedName name="data13">#REF!</definedName>
    <definedName name="data14" localSheetId="0">Proforma!#REF!</definedName>
    <definedName name="data14">#REF!</definedName>
    <definedName name="data15" localSheetId="0">Proforma!#REF!</definedName>
    <definedName name="data15">#REF!</definedName>
    <definedName name="data16" localSheetId="0">Proforma!#REF!</definedName>
    <definedName name="data16">#REF!</definedName>
    <definedName name="data17" localSheetId="0">Proforma!#REF!</definedName>
    <definedName name="data17">#REF!</definedName>
    <definedName name="data18" localSheetId="0">Proforma!#REF!</definedName>
    <definedName name="data18">#REF!</definedName>
    <definedName name="data19" localSheetId="0">Proforma!#REF!</definedName>
    <definedName name="data19">#REF!</definedName>
    <definedName name="data2" localSheetId="0">Proforma!#REF!</definedName>
    <definedName name="data2">#REF!</definedName>
    <definedName name="data20" localSheetId="0">Proforma!#REF!</definedName>
    <definedName name="data20">#REF!</definedName>
    <definedName name="data21" localSheetId="0">Proforma!#REF!</definedName>
    <definedName name="data21">#REF!</definedName>
    <definedName name="data22" localSheetId="0">Proforma!#REF!</definedName>
    <definedName name="data22">#REF!</definedName>
    <definedName name="data23" localSheetId="0">Proforma!#REF!</definedName>
    <definedName name="data23">#REF!</definedName>
    <definedName name="data24" localSheetId="0">Proforma!#REF!</definedName>
    <definedName name="data24">#REF!</definedName>
    <definedName name="data25" localSheetId="0">Proforma!#REF!</definedName>
    <definedName name="data25">#REF!</definedName>
    <definedName name="data26" localSheetId="0">Proforma!#REF!</definedName>
    <definedName name="data26">#REF!</definedName>
    <definedName name="data27" localSheetId="0">Proforma!#REF!</definedName>
    <definedName name="data27">#REF!</definedName>
    <definedName name="data28" localSheetId="0">Proforma!#REF!</definedName>
    <definedName name="data28">#REF!</definedName>
    <definedName name="data29" localSheetId="0">Proforma!#REF!</definedName>
    <definedName name="data29">#REF!</definedName>
    <definedName name="data3" localSheetId="0">Proforma!#REF!</definedName>
    <definedName name="data3">#REF!</definedName>
    <definedName name="data30" localSheetId="0">Proforma!#REF!</definedName>
    <definedName name="data30">#REF!</definedName>
    <definedName name="data31" localSheetId="0">Proforma!#REF!</definedName>
    <definedName name="data31">#REF!</definedName>
    <definedName name="data32" localSheetId="0">Proforma!#REF!</definedName>
    <definedName name="data32">#REF!</definedName>
    <definedName name="data33" localSheetId="0">Proforma!#REF!</definedName>
    <definedName name="data33">#REF!</definedName>
    <definedName name="data34" localSheetId="0">Proforma!#REF!</definedName>
    <definedName name="data34">#REF!</definedName>
    <definedName name="data35" localSheetId="0">Proforma!#REF!</definedName>
    <definedName name="data35">#REF!</definedName>
    <definedName name="data36" localSheetId="0">Proforma!#REF!</definedName>
    <definedName name="data36">#REF!</definedName>
    <definedName name="data37" localSheetId="0">Proforma!#REF!</definedName>
    <definedName name="data37">#REF!</definedName>
    <definedName name="data38" localSheetId="0">Proforma!#REF!</definedName>
    <definedName name="data38">#REF!</definedName>
    <definedName name="data39" localSheetId="0">Proforma!#REF!</definedName>
    <definedName name="data39">#REF!</definedName>
    <definedName name="data4" localSheetId="0">Proforma!#REF!</definedName>
    <definedName name="data4">#REF!</definedName>
    <definedName name="data40" localSheetId="0">Proforma!#REF!</definedName>
    <definedName name="data40">#REF!</definedName>
    <definedName name="data41" localSheetId="0">Proforma!#REF!</definedName>
    <definedName name="data41">#REF!</definedName>
    <definedName name="data42" localSheetId="0">Proforma!#REF!</definedName>
    <definedName name="data42">#REF!</definedName>
    <definedName name="data43" localSheetId="0">Proforma!#REF!</definedName>
    <definedName name="data43">#REF!</definedName>
    <definedName name="data44" localSheetId="0">Proforma!#REF!</definedName>
    <definedName name="data44">#REF!</definedName>
    <definedName name="data45" localSheetId="0">Proforma!#REF!</definedName>
    <definedName name="data45">#REF!</definedName>
    <definedName name="data46" localSheetId="0">Proforma!#REF!</definedName>
    <definedName name="data46">#REF!</definedName>
    <definedName name="data47" localSheetId="0">Proforma!#REF!</definedName>
    <definedName name="data47">#REF!</definedName>
    <definedName name="data48" localSheetId="0">Proforma!#REF!</definedName>
    <definedName name="data48">#REF!</definedName>
    <definedName name="data49" localSheetId="0">Proforma!#REF!</definedName>
    <definedName name="data49">#REF!</definedName>
    <definedName name="data5" localSheetId="0">Proforma!#REF!</definedName>
    <definedName name="data5">#REF!</definedName>
    <definedName name="data50" localSheetId="0">Proforma!#REF!</definedName>
    <definedName name="data50">#REF!</definedName>
    <definedName name="data51" localSheetId="0">Proforma!#REF!</definedName>
    <definedName name="data51">#REF!</definedName>
    <definedName name="data52" localSheetId="0">Proforma!#REF!</definedName>
    <definedName name="data52">#REF!</definedName>
    <definedName name="data53" localSheetId="0">Proforma!#REF!</definedName>
    <definedName name="data53">#REF!</definedName>
    <definedName name="data54" localSheetId="0">Proforma!#REF!</definedName>
    <definedName name="data54">#REF!</definedName>
    <definedName name="data55" localSheetId="0">Proforma!#REF!</definedName>
    <definedName name="data55">#REF!</definedName>
    <definedName name="data56" localSheetId="0">Proforma!#REF!</definedName>
    <definedName name="data56">#REF!</definedName>
    <definedName name="data57" localSheetId="0">Proforma!#REF!</definedName>
    <definedName name="data57">#REF!</definedName>
    <definedName name="data58" localSheetId="0">Proforma!#REF!</definedName>
    <definedName name="data58">#REF!</definedName>
    <definedName name="data59" localSheetId="0">Proforma!#REF!</definedName>
    <definedName name="data59">#REF!</definedName>
    <definedName name="data6" localSheetId="0">Proforma!#REF!</definedName>
    <definedName name="data6">#REF!</definedName>
    <definedName name="data60" localSheetId="0">Proforma!#REF!</definedName>
    <definedName name="data60">#REF!</definedName>
    <definedName name="data61" localSheetId="0">Proforma!#REF!</definedName>
    <definedName name="data61">#REF!</definedName>
    <definedName name="data62" localSheetId="0">Proforma!#REF!</definedName>
    <definedName name="data62">#REF!</definedName>
    <definedName name="data63" localSheetId="0">Proforma!#REF!</definedName>
    <definedName name="data63">#REF!</definedName>
    <definedName name="data64" localSheetId="0">Proforma!#REF!</definedName>
    <definedName name="data64">#REF!</definedName>
    <definedName name="data65" localSheetId="0">Proforma!#REF!</definedName>
    <definedName name="data65">#REF!</definedName>
    <definedName name="data66" localSheetId="0">Proforma!#REF!</definedName>
    <definedName name="data66">#REF!</definedName>
    <definedName name="data67" localSheetId="0">Proforma!#REF!</definedName>
    <definedName name="data67">#REF!</definedName>
    <definedName name="data68" localSheetId="0">Proforma!#REF!</definedName>
    <definedName name="data68">#REF!</definedName>
    <definedName name="data69" localSheetId="0">Proforma!#REF!</definedName>
    <definedName name="data69">#REF!</definedName>
    <definedName name="data7" localSheetId="0">Proforma!#REF!</definedName>
    <definedName name="data7">#REF!</definedName>
    <definedName name="data8" localSheetId="0">Proforma!#REF!</definedName>
    <definedName name="data8">#REF!</definedName>
    <definedName name="data9" localSheetId="0">Proforma!#REF!</definedName>
    <definedName name="data9">#REF!</definedName>
    <definedName name="Display_Area_2" localSheetId="0">Proforma!$C$3:$G$62</definedName>
    <definedName name="Display_Area_2">#REF!</definedName>
    <definedName name="GoAssetChart" localSheetId="0">Proforma!GoAssetChart</definedName>
    <definedName name="GoAssetChart">[0]!GoAssetChart</definedName>
    <definedName name="GoBack" localSheetId="0">Proforma!GoBack</definedName>
    <definedName name="GoBack">[0]!GoBack</definedName>
    <definedName name="GoBalanceSheet" localSheetId="0">Proforma!GoBalanceSheet</definedName>
    <definedName name="GoBalanceSheet">[0]!GoBalanceSheet</definedName>
    <definedName name="GoCashFlow" localSheetId="0">Proforma!GoCashFlow</definedName>
    <definedName name="GoCashFlow">[0]!GoCashFlow</definedName>
    <definedName name="GoData" localSheetId="0">Proforma!GoData</definedName>
    <definedName name="GoData">[0]!GoData</definedName>
    <definedName name="GoIncomeChart" localSheetId="0">Proforma!GoIncomeChart</definedName>
    <definedName name="GoIncomeChart">[0]!GoIncomeChart</definedName>
    <definedName name="Nada">[1]!Nada</definedName>
    <definedName name="NO" localSheetId="0">Proforma!$F$4</definedName>
    <definedName name="NO">#REF!</definedName>
    <definedName name="_xlnm.Print_Area" localSheetId="0">Proforma!$C$2:$G$63</definedName>
    <definedName name="TOT" localSheetId="0">Proforma!#REF!</definedName>
    <definedName name="TOT">#REF!</definedName>
  </definedNames>
  <calcPr calcId="152511"/>
</workbook>
</file>

<file path=xl/calcChain.xml><?xml version="1.0" encoding="utf-8"?>
<calcChain xmlns="http://schemas.openxmlformats.org/spreadsheetml/2006/main">
  <c r="G30" i="2" l="1"/>
  <c r="G31" i="2"/>
  <c r="G29" i="2"/>
  <c r="G32" i="2" l="1"/>
  <c r="G33" i="2"/>
  <c r="G34" i="2"/>
  <c r="G35" i="2"/>
  <c r="G36" i="2"/>
  <c r="G37" i="2"/>
  <c r="G38" i="2"/>
  <c r="G39" i="2"/>
  <c r="G40" i="2"/>
  <c r="G49" i="2"/>
  <c r="G27" i="2" l="1"/>
  <c r="G28" i="2"/>
  <c r="F17" i="2"/>
  <c r="G26" i="2"/>
  <c r="G23" i="2"/>
  <c r="G50" i="2" l="1"/>
  <c r="L6" i="2"/>
</calcChain>
</file>

<file path=xl/sharedStrings.xml><?xml version="1.0" encoding="utf-8"?>
<sst xmlns="http://schemas.openxmlformats.org/spreadsheetml/2006/main" count="61" uniqueCount="59">
  <si>
    <t>Description</t>
  </si>
  <si>
    <t xml:space="preserve">QTY  </t>
  </si>
  <si>
    <t>Tel No</t>
  </si>
  <si>
    <t>Email</t>
  </si>
  <si>
    <t>Address</t>
  </si>
  <si>
    <t>Name</t>
  </si>
  <si>
    <t>DATE</t>
  </si>
  <si>
    <t>Fax</t>
  </si>
  <si>
    <t>SUBTOTAL</t>
  </si>
  <si>
    <t>QUOTATION</t>
  </si>
  <si>
    <t>ORDER</t>
  </si>
  <si>
    <t>INVOICE</t>
  </si>
  <si>
    <t>FORM</t>
  </si>
  <si>
    <t>Unit Price</t>
  </si>
  <si>
    <t>ATT</t>
  </si>
  <si>
    <t xml:space="preserve">             TOTAL</t>
  </si>
  <si>
    <t xml:space="preserve">CUSTOMER DETAILS                                        </t>
  </si>
  <si>
    <t xml:space="preserve">  </t>
  </si>
  <si>
    <t>Harare, Zimbabwe</t>
  </si>
  <si>
    <t>Website: jometechafrica.com</t>
  </si>
  <si>
    <t>Phone: +263783771089</t>
  </si>
  <si>
    <t>Email: info@jometechafrica.com</t>
  </si>
  <si>
    <t xml:space="preserve">163 Chinhoyi Street, Corner Mandela
</t>
  </si>
  <si>
    <t>Prepared by:</t>
  </si>
  <si>
    <t>Blessed Majome</t>
  </si>
  <si>
    <t>+263 78 377 1089</t>
  </si>
  <si>
    <t>Currency</t>
  </si>
  <si>
    <t>QUOTATION  NUMBER</t>
  </si>
  <si>
    <t>USD</t>
  </si>
  <si>
    <t>Printing</t>
  </si>
  <si>
    <t>200 copies.         Adonai enrolment</t>
  </si>
  <si>
    <t>1×A2 copy.          Adonai enrolment</t>
  </si>
  <si>
    <t>15 copies.          Chiparaushe</t>
  </si>
  <si>
    <t>2×A2 copies.     Chiparaushe</t>
  </si>
  <si>
    <t>20 copies.          Prospectus</t>
  </si>
  <si>
    <t>Design</t>
  </si>
  <si>
    <t>Prospectus.       $</t>
  </si>
  <si>
    <t>Chiparaushe.     $</t>
  </si>
  <si>
    <t>About us.           $</t>
  </si>
  <si>
    <t>Exhibition.          $</t>
  </si>
  <si>
    <t>PAYMENT DETAILS</t>
  </si>
  <si>
    <t>Bank Transfer</t>
  </si>
  <si>
    <t>Acc Name:Jome Tech Africa</t>
  </si>
  <si>
    <t>Bank: Empowerbank</t>
  </si>
  <si>
    <t>Acc Type: Nostro</t>
  </si>
  <si>
    <t>Branch: Main</t>
  </si>
  <si>
    <t>Acc No.: 953748524953</t>
  </si>
  <si>
    <t>Ecocash , Innbucks, O’mari Account: 0783771089</t>
  </si>
  <si>
    <t>Account Name: Blessed Tinashe Majome</t>
  </si>
  <si>
    <t>Customer Acceptance (sign below):</t>
  </si>
  <si>
    <t>x ___________________________________________</t>
  </si>
  <si>
    <t>Email Setup</t>
  </si>
  <si>
    <t>5 Email Accounts hosting</t>
  </si>
  <si>
    <t>Domain (.com) per year</t>
  </si>
  <si>
    <t>Domain (.co.zw) per year</t>
  </si>
  <si>
    <t>Welfare and Educational Institutions Employers Association</t>
  </si>
  <si>
    <t>Itai</t>
  </si>
  <si>
    <t>+263 77 249 1529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</si>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</sst>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&quot;$&quot;#,##0.00"/>
    <numFmt numFmtId="167" formatCode="_(* #,##0_);_(* \(#,##0\);_(* &quot;-&quot;??_);_(@_)"/>
    <numFmt numFmtId="168" formatCode="_-[$$-409]* #,##0.00_ ;_-[$$-409]* \-#,##0.00\ ;_-[$$-409]* &quot;-&quot;??_ ;_-@_ "/>
  </numFmts>
  <fonts count="2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4"/>
      <name val="Tahoma"/>
      <family val="2"/>
    </font>
    <font>
      <sz val="16"/>
      <name val="Tahoma"/>
      <family val="2"/>
    </font>
    <font>
      <sz val="10"/>
      <name val="Tahoma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b/>
      <sz val="12"/>
      <name val="Tahoma"/>
      <family val="2"/>
    </font>
    <font>
      <sz val="11"/>
      <color theme="1"/>
      <name val="Century Gothic"/>
      <family val="2"/>
      <scheme val="minor"/>
    </font>
    <font>
      <sz val="10"/>
      <color rgb="FF000000"/>
      <name val="Arial"/>
      <family val="2"/>
    </font>
    <font>
      <sz val="12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b/>
      <sz val="22"/>
      <color rgb="FFFF0000"/>
      <name val="Tahoma"/>
      <family val="2"/>
    </font>
    <font>
      <sz val="10"/>
      <color theme="0"/>
      <name val="Tahoma"/>
      <family val="2"/>
    </font>
    <font>
      <sz val="10"/>
      <color rgb="FFFFFF00"/>
      <name val="Tahoma"/>
      <family val="2"/>
    </font>
    <font>
      <b/>
      <sz val="12"/>
      <color rgb="FF0070C0"/>
      <name val="Tahoma"/>
      <family val="2"/>
    </font>
    <font>
      <i/>
      <sz val="10"/>
      <name val="Tahoma"/>
      <family val="2"/>
    </font>
    <font>
      <b/>
      <sz val="14"/>
      <color rgb="FF00206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6"/>
      <color rgb="FFFF0000"/>
      <name val="Tahoma"/>
      <family val="2"/>
    </font>
    <font>
      <b/>
      <u/>
      <sz val="12"/>
      <name val="Tahoma"/>
      <family val="2"/>
    </font>
    <font>
      <b/>
      <sz val="14"/>
      <color rgb="FFFF0000"/>
      <name val="Verdana"/>
      <family val="2"/>
    </font>
    <font>
      <b/>
      <sz val="9"/>
      <color rgb="FFFF0000"/>
      <name val="Roboto"/>
    </font>
    <font>
      <sz val="12"/>
      <color rgb="FF000000"/>
      <name val="Roboto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0">
    <xf numFmtId="0" fontId="0" fillId="0" borderId="0"/>
    <xf numFmtId="0" fontId="1" fillId="0" borderId="0"/>
    <xf numFmtId="0" fontId="9" fillId="4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0"/>
    <xf numFmtId="0" fontId="1" fillId="2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0">
    <xf numFmtId="0" fontId="0" fillId="0" borderId="0" xfId="0"/>
    <xf numFmtId="0" fontId="5" fillId="5" borderId="0" xfId="26" applyFont="1" applyFill="1" applyAlignment="1">
      <alignment horizontal="center" vertical="center"/>
    </xf>
    <xf numFmtId="0" fontId="3" fillId="5" borderId="0" xfId="26" applyFont="1" applyFill="1" applyAlignment="1">
      <alignment vertical="center"/>
    </xf>
    <xf numFmtId="0" fontId="4" fillId="5" borderId="0" xfId="26" applyFont="1" applyFill="1" applyAlignment="1">
      <alignment vertical="center"/>
    </xf>
    <xf numFmtId="44" fontId="8" fillId="8" borderId="5" xfId="26" applyNumberFormat="1" applyFont="1" applyFill="1" applyBorder="1" applyAlignment="1">
      <alignment horizontal="center" vertical="center"/>
    </xf>
    <xf numFmtId="0" fontId="8" fillId="8" borderId="6" xfId="26" applyFont="1" applyFill="1" applyBorder="1" applyAlignment="1">
      <alignment horizontal="center" vertical="center"/>
    </xf>
    <xf numFmtId="0" fontId="11" fillId="5" borderId="0" xfId="26" applyFont="1" applyFill="1" applyAlignment="1">
      <alignment vertical="center"/>
    </xf>
    <xf numFmtId="0" fontId="5" fillId="5" borderId="0" xfId="26" applyFont="1" applyFill="1" applyAlignment="1">
      <alignment vertical="center"/>
    </xf>
    <xf numFmtId="0" fontId="5" fillId="2" borderId="0" xfId="26" applyFont="1" applyAlignment="1">
      <alignment vertical="center"/>
    </xf>
    <xf numFmtId="0" fontId="5" fillId="3" borderId="0" xfId="26" applyFont="1" applyFill="1" applyAlignment="1" applyProtection="1">
      <alignment vertical="center"/>
      <protection locked="0"/>
    </xf>
    <xf numFmtId="0" fontId="5" fillId="2" borderId="0" xfId="26" applyFont="1" applyAlignment="1" applyProtection="1">
      <alignment vertical="center"/>
      <protection locked="0"/>
    </xf>
    <xf numFmtId="0" fontId="13" fillId="5" borderId="0" xfId="26" applyFont="1" applyFill="1" applyAlignment="1">
      <alignment horizontal="right" vertical="center"/>
    </xf>
    <xf numFmtId="0" fontId="13" fillId="5" borderId="0" xfId="26" applyFont="1" applyFill="1" applyAlignment="1">
      <alignment horizontal="center" vertical="center"/>
    </xf>
    <xf numFmtId="0" fontId="5" fillId="0" borderId="0" xfId="0" applyFont="1" applyProtection="1">
      <protection locked="0"/>
    </xf>
    <xf numFmtId="0" fontId="11" fillId="5" borderId="0" xfId="26" applyFont="1" applyFill="1" applyAlignment="1">
      <alignment horizontal="right" vertical="center"/>
    </xf>
    <xf numFmtId="0" fontId="15" fillId="2" borderId="0" xfId="26" applyFont="1" applyAlignment="1" applyProtection="1">
      <alignment horizontal="right" vertical="center"/>
      <protection locked="0"/>
    </xf>
    <xf numFmtId="49" fontId="11" fillId="5" borderId="0" xfId="26" applyNumberFormat="1" applyFont="1" applyFill="1" applyAlignment="1">
      <alignment horizontal="right" vertical="center"/>
    </xf>
    <xf numFmtId="0" fontId="13" fillId="5" borderId="0" xfId="26" applyFont="1" applyFill="1" applyAlignment="1">
      <alignment vertical="center"/>
    </xf>
    <xf numFmtId="0" fontId="5" fillId="0" borderId="0" xfId="0" applyFont="1" applyAlignment="1" applyProtection="1">
      <alignment horizontal="right"/>
      <protection locked="0"/>
    </xf>
    <xf numFmtId="0" fontId="8" fillId="5" borderId="0" xfId="26" applyFont="1" applyFill="1" applyAlignment="1">
      <alignment horizontal="right" vertical="center"/>
    </xf>
    <xf numFmtId="0" fontId="12" fillId="5" borderId="0" xfId="26" applyFont="1" applyFill="1" applyAlignment="1">
      <alignment horizontal="left" vertical="center"/>
    </xf>
    <xf numFmtId="0" fontId="17" fillId="5" borderId="0" xfId="26" applyFont="1" applyFill="1" applyAlignment="1">
      <alignment horizontal="right" vertical="center"/>
    </xf>
    <xf numFmtId="0" fontId="18" fillId="3" borderId="0" xfId="26" applyFont="1" applyFill="1" applyAlignment="1" applyProtection="1">
      <alignment vertical="center"/>
      <protection locked="0"/>
    </xf>
    <xf numFmtId="0" fontId="18" fillId="5" borderId="0" xfId="26" applyFont="1" applyFill="1" applyAlignment="1">
      <alignment vertical="center"/>
    </xf>
    <xf numFmtId="0" fontId="18" fillId="2" borderId="0" xfId="26" applyFont="1" applyAlignment="1" applyProtection="1">
      <alignment vertical="center"/>
      <protection locked="0"/>
    </xf>
    <xf numFmtId="0" fontId="20" fillId="6" borderId="2" xfId="2" applyNumberFormat="1" applyFont="1" applyFill="1" applyBorder="1" applyAlignment="1">
      <alignment horizontal="left" vertical="center"/>
    </xf>
    <xf numFmtId="0" fontId="13" fillId="0" borderId="2" xfId="0" applyFont="1" applyBorder="1"/>
    <xf numFmtId="0" fontId="8" fillId="5" borderId="0" xfId="26" applyFont="1" applyFill="1" applyAlignment="1">
      <alignment horizontal="center" vertical="center"/>
    </xf>
    <xf numFmtId="0" fontId="21" fillId="6" borderId="2" xfId="2" applyNumberFormat="1" applyFont="1" applyFill="1" applyBorder="1" applyAlignment="1">
      <alignment horizontal="left" vertical="center"/>
    </xf>
    <xf numFmtId="0" fontId="22" fillId="5" borderId="0" xfId="26" applyFont="1" applyFill="1" applyAlignment="1">
      <alignment vertical="center"/>
    </xf>
    <xf numFmtId="0" fontId="3" fillId="0" borderId="2" xfId="0" applyFont="1" applyBorder="1"/>
    <xf numFmtId="0" fontId="21" fillId="6" borderId="3" xfId="2" applyNumberFormat="1" applyFont="1" applyFill="1" applyBorder="1" applyAlignment="1">
      <alignment horizontal="left" vertical="center"/>
    </xf>
    <xf numFmtId="0" fontId="11" fillId="2" borderId="0" xfId="26" applyFont="1" applyAlignment="1">
      <alignment vertical="center"/>
    </xf>
    <xf numFmtId="0" fontId="3" fillId="0" borderId="2" xfId="0" applyFont="1" applyBorder="1" applyAlignment="1">
      <alignment vertical="center"/>
    </xf>
    <xf numFmtId="168" fontId="3" fillId="0" borderId="2" xfId="0" applyNumberFormat="1" applyFont="1" applyBorder="1"/>
    <xf numFmtId="44" fontId="3" fillId="6" borderId="7" xfId="5" applyFont="1" applyFill="1" applyBorder="1" applyAlignment="1">
      <alignment vertical="center"/>
    </xf>
    <xf numFmtId="0" fontId="3" fillId="5" borderId="2" xfId="26" applyFont="1" applyFill="1" applyBorder="1" applyAlignment="1">
      <alignment vertical="center"/>
    </xf>
    <xf numFmtId="0" fontId="5" fillId="2" borderId="0" xfId="26" applyFont="1"/>
    <xf numFmtId="0" fontId="23" fillId="5" borderId="0" xfId="26" applyFont="1" applyFill="1" applyAlignment="1">
      <alignment vertical="center"/>
    </xf>
    <xf numFmtId="166" fontId="13" fillId="5" borderId="4" xfId="26" applyNumberFormat="1" applyFont="1" applyFill="1" applyBorder="1" applyAlignment="1">
      <alignment horizontal="right"/>
    </xf>
    <xf numFmtId="0" fontId="5" fillId="5" borderId="0" xfId="26" applyFont="1" applyFill="1" applyAlignment="1" applyProtection="1">
      <alignment horizontal="center" vertical="center"/>
      <protection locked="0"/>
    </xf>
    <xf numFmtId="0" fontId="5" fillId="3" borderId="1" xfId="26" applyFont="1" applyFill="1" applyBorder="1" applyAlignment="1">
      <alignment vertical="center"/>
    </xf>
    <xf numFmtId="0" fontId="5" fillId="2" borderId="0" xfId="26" applyFont="1" applyAlignment="1">
      <alignment horizontal="center" vertical="center"/>
    </xf>
    <xf numFmtId="0" fontId="3" fillId="5" borderId="0" xfId="26" applyFont="1" applyFill="1" applyAlignment="1">
      <alignment horizontal="right" vertical="center"/>
    </xf>
    <xf numFmtId="49" fontId="3" fillId="5" borderId="0" xfId="26" applyNumberFormat="1" applyFont="1" applyFill="1" applyAlignment="1" applyProtection="1">
      <alignment horizontal="right" vertical="center"/>
      <protection locked="0"/>
    </xf>
    <xf numFmtId="0" fontId="3" fillId="7" borderId="0" xfId="1" applyFont="1" applyFill="1" applyAlignment="1">
      <alignment horizontal="right" vertical="center"/>
    </xf>
    <xf numFmtId="0" fontId="3" fillId="5" borderId="0" xfId="26" applyFont="1" applyFill="1" applyAlignment="1">
      <alignment horizontal="center" vertical="center"/>
    </xf>
    <xf numFmtId="15" fontId="3" fillId="5" borderId="0" xfId="26" applyNumberFormat="1" applyFont="1" applyFill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68" fontId="3" fillId="0" borderId="2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8" fillId="0" borderId="0" xfId="0" applyFont="1"/>
    <xf numFmtId="0" fontId="10" fillId="0" borderId="0" xfId="0" applyFont="1"/>
    <xf numFmtId="0" fontId="27" fillId="0" borderId="0" xfId="0" applyFont="1"/>
    <xf numFmtId="12" fontId="3" fillId="0" borderId="2" xfId="0" applyNumberFormat="1" applyFont="1" applyBorder="1" applyAlignment="1">
      <alignment horizontal="left"/>
    </xf>
    <xf numFmtId="0" fontId="10" fillId="0" borderId="0" xfId="0" applyFont="1" applyAlignment="1">
      <alignment vertical="center"/>
    </xf>
    <xf numFmtId="0" fontId="19" fillId="5" borderId="8" xfId="26" applyFont="1" applyFill="1" applyBorder="1" applyAlignment="1">
      <alignment horizontal="left" vertical="center"/>
    </xf>
    <xf numFmtId="0" fontId="14" fillId="5" borderId="0" xfId="1" applyFont="1" applyFill="1" applyAlignment="1">
      <alignment horizontal="right" vertical="center"/>
    </xf>
    <xf numFmtId="0" fontId="16" fillId="2" borderId="0" xfId="26" applyFont="1" applyAlignment="1" applyProtection="1">
      <alignment vertical="center"/>
      <protection locked="0"/>
    </xf>
    <xf numFmtId="0" fontId="19" fillId="5" borderId="8" xfId="26" applyFont="1" applyFill="1" applyBorder="1" applyAlignment="1">
      <alignment horizontal="right" vertical="center"/>
    </xf>
    <xf numFmtId="0" fontId="24" fillId="5" borderId="0" xfId="26" applyFont="1" applyFill="1" applyAlignment="1">
      <alignment horizontal="right" vertical="center"/>
    </xf>
    <xf numFmtId="0" fontId="5" fillId="2" borderId="0" xfId="26" applyFont="1" applyAlignment="1" applyProtection="1">
      <alignment horizontal="right" vertical="center"/>
      <protection locked="0"/>
    </xf>
    <xf numFmtId="0" fontId="3" fillId="5" borderId="0" xfId="26" applyFont="1" applyFill="1" applyAlignment="1">
      <alignment horizontal="right" vertical="top" wrapText="1"/>
    </xf>
    <xf numFmtId="0" fontId="3" fillId="5" borderId="0" xfId="26" applyFont="1" applyFill="1" applyAlignment="1">
      <alignment horizontal="right" vertical="top"/>
    </xf>
    <xf numFmtId="0" fontId="3" fillId="0" borderId="2" xfId="0" quotePrefix="1" applyFont="1" applyBorder="1" applyAlignment="1">
      <alignment horizontal="left"/>
    </xf>
  </cellXfs>
  <cellStyles count="30">
    <cellStyle name="_x000d__x000a_JournalTemplate=C:\COMFO\CTALK\JOURSTD.TPL_x000d__x000a_LbStateAddress=3 3 0 251 1 89 2 311_x000d__x000a_LbStateJou" xfId="1"/>
    <cellStyle name="20% - Accent3" xfId="2" builtinId="38"/>
    <cellStyle name="Besuchter Hyperlink" xfId="3"/>
    <cellStyle name="Comma 3" xfId="4"/>
    <cellStyle name="Currency" xfId="5" builtinId="4"/>
    <cellStyle name="Currency 2" xfId="6"/>
    <cellStyle name="Dezimal [0]_Compiling Utility Macros" xfId="7"/>
    <cellStyle name="Dezimal_Compiling Utility Macros" xfId="8"/>
    <cellStyle name="Normal" xfId="0" builtinId="0"/>
    <cellStyle name="Normal 10" xfId="9"/>
    <cellStyle name="Normal 13" xfId="10"/>
    <cellStyle name="Normal 2" xfId="11"/>
    <cellStyle name="Normal 2 10" xfId="12"/>
    <cellStyle name="Normal 2 11" xfId="13"/>
    <cellStyle name="Normal 2 12" xfId="14"/>
    <cellStyle name="Normal 2 13" xfId="15"/>
    <cellStyle name="Normal 2 2" xfId="16"/>
    <cellStyle name="Normal 2 3" xfId="17"/>
    <cellStyle name="Normal 2 4" xfId="18"/>
    <cellStyle name="Normal 2 5" xfId="19"/>
    <cellStyle name="Normal 2 6" xfId="20"/>
    <cellStyle name="Normal 2 7" xfId="21"/>
    <cellStyle name="Normal 2 8" xfId="22"/>
    <cellStyle name="Normal 2 9" xfId="23"/>
    <cellStyle name="Normal 4" xfId="24"/>
    <cellStyle name="Normal 7" xfId="25"/>
    <cellStyle name="Normal_Sales Quote" xfId="26"/>
    <cellStyle name="Standard_Anpassen der Amortisation" xfId="27"/>
    <cellStyle name="Währung [0]_Compiling Utility Macros" xfId="28"/>
    <cellStyle name="Währung_Compiling Utility Macros" xfId="2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EAE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A8B0"/>
      <rgbColor rgb="00F51E30"/>
      <rgbColor rgb="00DDDDDD"/>
      <rgbColor rgb="00B0E1E8"/>
      <rgbColor rgb="00292929"/>
      <rgbColor rgb="00F0BABA"/>
      <rgbColor rgb="00777777"/>
      <rgbColor rgb="00EAEAEA"/>
      <rgbColor rgb="0000A8B0"/>
      <rgbColor rgb="00F51E30"/>
      <rgbColor rgb="00DDDDDD"/>
      <rgbColor rgb="00B0E1E8"/>
      <rgbColor rgb="00292929"/>
      <rgbColor rgb="00F0BABA"/>
      <rgbColor rgb="00777777"/>
      <rgbColor rgb="00EAEAEA"/>
      <rgbColor rgb="0000CCFF"/>
      <rgbColor rgb="00292929"/>
      <rgbColor rgb="00B0E1E8"/>
      <rgbColor rgb="00DDDDDD"/>
      <rgbColor rgb="00F0BABA"/>
      <rgbColor rgb="0000A8B0"/>
      <rgbColor rgb="00777777"/>
      <rgbColor rgb="00F51E30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noThreeD="1" sel="0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1228725</xdr:colOff>
      <xdr:row>21</xdr:row>
      <xdr:rowOff>282288</xdr:rowOff>
    </xdr:from>
    <xdr:to>
      <xdr:col>7</xdr:col>
      <xdr:colOff>0</xdr:colOff>
      <xdr:row>23</xdr:row>
      <xdr:rowOff>91807</xdr:rowOff>
    </xdr:to>
    <xdr:sp macro="" textlink="">
      <xdr:nvSpPr>
        <xdr:cNvPr id="5325" name="SQB2">
          <a:extLst>
            <a:ext uri="{FF2B5EF4-FFF2-40B4-BE49-F238E27FC236}">
              <a16:creationId xmlns:a16="http://schemas.microsoft.com/office/drawing/2014/main" xmlns="" id="{00000000-0008-0000-0000-0000CD140000}"/>
            </a:ext>
          </a:extLst>
        </xdr:cNvPr>
        <xdr:cNvSpPr>
          <a:spLocks noChangeArrowheads="1"/>
        </xdr:cNvSpPr>
      </xdr:nvSpPr>
      <xdr:spPr bwMode="auto">
        <a:xfrm>
          <a:off x="9105785" y="4652312"/>
          <a:ext cx="1966167" cy="342001"/>
        </a:xfrm>
        <a:prstGeom prst="roundRect">
          <a:avLst>
            <a:gd name="adj" fmla="val 16667"/>
          </a:avLst>
        </a:prstGeom>
        <a:noFill/>
        <a:ln w="9525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250537</xdr:colOff>
      <xdr:row>3</xdr:row>
      <xdr:rowOff>196729</xdr:rowOff>
    </xdr:from>
    <xdr:to>
      <xdr:col>4</xdr:col>
      <xdr:colOff>2216727</xdr:colOff>
      <xdr:row>10</xdr:row>
      <xdr:rowOff>91082</xdr:rowOff>
    </xdr:to>
    <xdr:pic>
      <xdr:nvPicPr>
        <xdr:cNvPr id="5337" name="Picture 15">
          <a:extLst>
            <a:ext uri="{FF2B5EF4-FFF2-40B4-BE49-F238E27FC236}">
              <a16:creationId xmlns:a16="http://schemas.microsoft.com/office/drawing/2014/main" xmlns="" id="{00000000-0008-0000-00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8623" y="534186"/>
          <a:ext cx="2630218" cy="1559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22860</xdr:rowOff>
        </xdr:from>
        <xdr:to>
          <xdr:col>4</xdr:col>
          <xdr:colOff>1706880</xdr:colOff>
          <xdr:row>19</xdr:row>
          <xdr:rowOff>220980</xdr:rowOff>
        </xdr:to>
        <xdr:sp macro="" textlink="">
          <xdr:nvSpPr>
            <xdr:cNvPr id="4102" name="ENM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xmlns="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388620</xdr:colOff>
          <xdr:row>24</xdr:row>
          <xdr:rowOff>137160</xdr:rowOff>
        </xdr:from>
        <xdr:to>
          <xdr:col>11</xdr:col>
          <xdr:colOff>99060</xdr:colOff>
          <xdr:row>26</xdr:row>
          <xdr:rowOff>60960</xdr:rowOff>
        </xdr:to>
        <xdr:sp macro="" textlink="">
          <xdr:nvSpPr>
            <xdr:cNvPr id="5338" name="Button 1242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xmlns="" id="{00000000-0008-0000-00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QUOTATION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152400</xdr:colOff>
          <xdr:row>24</xdr:row>
          <xdr:rowOff>137160</xdr:rowOff>
        </xdr:from>
        <xdr:to>
          <xdr:col>13</xdr:col>
          <xdr:colOff>769620</xdr:colOff>
          <xdr:row>26</xdr:row>
          <xdr:rowOff>45720</xdr:rowOff>
        </xdr:to>
        <xdr:sp macro="" textlink="">
          <xdr:nvSpPr>
            <xdr:cNvPr id="5339" name="Button 1243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xmlns="" id="{00000000-0008-0000-00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INVOICE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26</xdr:row>
          <xdr:rowOff>106680</xdr:rowOff>
        </xdr:from>
        <xdr:to>
          <xdr:col>11</xdr:col>
          <xdr:colOff>99060</xdr:colOff>
          <xdr:row>28</xdr:row>
          <xdr:rowOff>0</xdr:rowOff>
        </xdr:to>
        <xdr:sp macro="" textlink="">
          <xdr:nvSpPr>
            <xdr:cNvPr id="5341" name="Button 1245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xmlns="" id="{00000000-0008-0000-00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 DOCUMENT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160020</xdr:colOff>
          <xdr:row>26</xdr:row>
          <xdr:rowOff>137160</xdr:rowOff>
        </xdr:from>
        <xdr:to>
          <xdr:col>13</xdr:col>
          <xdr:colOff>746760</xdr:colOff>
          <xdr:row>28</xdr:row>
          <xdr:rowOff>0</xdr:rowOff>
        </xdr:to>
        <xdr:sp macro="" textlink="">
          <xdr:nvSpPr>
            <xdr:cNvPr id="5343" name="Button 1247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xmlns="" id="{00000000-0008-0000-00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175260</xdr:colOff>
          <xdr:row>22</xdr:row>
          <xdr:rowOff>30480</xdr:rowOff>
        </xdr:from>
        <xdr:to>
          <xdr:col>13</xdr:col>
          <xdr:colOff>754380</xdr:colOff>
          <xdr:row>24</xdr:row>
          <xdr:rowOff>60960</xdr:rowOff>
        </xdr:to>
        <xdr:sp macro="" textlink="">
          <xdr:nvSpPr>
            <xdr:cNvPr id="5344" name="Button 1248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xmlns="" id="{00000000-0008-0000-00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CLOSE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22</xdr:row>
          <xdr:rowOff>22860</xdr:rowOff>
        </xdr:from>
        <xdr:to>
          <xdr:col>11</xdr:col>
          <xdr:colOff>106680</xdr:colOff>
          <xdr:row>24</xdr:row>
          <xdr:rowOff>60960</xdr:rowOff>
        </xdr:to>
        <xdr:sp macro="" textlink="">
          <xdr:nvSpPr>
            <xdr:cNvPr id="5345" name="Button 1249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xmlns="" id="{00000000-0008-0000-00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DOCUMENT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6558347</xdr:colOff>
      <xdr:row>16</xdr:row>
      <xdr:rowOff>14432</xdr:rowOff>
    </xdr:from>
    <xdr:to>
      <xdr:col>4</xdr:col>
      <xdr:colOff>6558347</xdr:colOff>
      <xdr:row>23</xdr:row>
      <xdr:rowOff>14432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7669597" y="3088409"/>
          <a:ext cx="0" cy="19338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365760</xdr:colOff>
          <xdr:row>20</xdr:row>
          <xdr:rowOff>121920</xdr:rowOff>
        </xdr:from>
        <xdr:to>
          <xdr:col>11</xdr:col>
          <xdr:colOff>144780</xdr:colOff>
          <xdr:row>21</xdr:row>
          <xdr:rowOff>236220</xdr:rowOff>
        </xdr:to>
        <xdr:sp macro="" textlink="">
          <xdr:nvSpPr>
            <xdr:cNvPr id="5348" name="Button 1252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xmlns="" id="{00000000-0008-0000-00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USD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182880</xdr:colOff>
          <xdr:row>20</xdr:row>
          <xdr:rowOff>121920</xdr:rowOff>
        </xdr:from>
        <xdr:to>
          <xdr:col>13</xdr:col>
          <xdr:colOff>746760</xdr:colOff>
          <xdr:row>21</xdr:row>
          <xdr:rowOff>236220</xdr:rowOff>
        </xdr:to>
        <xdr:sp macro="" textlink="">
          <xdr:nvSpPr>
            <xdr:cNvPr id="5350" name="Button 1254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xmlns="" id="{00000000-0008-0000-00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RTGS 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28</xdr:row>
          <xdr:rowOff>0</xdr:rowOff>
        </xdr:from>
        <xdr:to>
          <xdr:col>13</xdr:col>
          <xdr:colOff>754380</xdr:colOff>
          <xdr:row>29</xdr:row>
          <xdr:rowOff>144780</xdr:rowOff>
        </xdr:to>
        <xdr:sp macro="" textlink="">
          <xdr:nvSpPr>
            <xdr:cNvPr id="5351" name="Button 1255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xmlns="" id="{00000000-0008-0000-00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HELP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FITABILITY\users\windows\TEMP\Sales%20quote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quote test"/>
    </sheetNames>
    <definedNames>
      <definedName name="Nada"/>
    </definedNames>
    <sheetDataSet>
      <sheetData sheetId="0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B2:N66"/>
  <sheetViews>
    <sheetView showGridLines="0" tabSelected="1" topLeftCell="A16" zoomScale="70" zoomScaleNormal="70" workbookViewId="0">
      <selection activeCell="E28" sqref="E28"/>
    </sheetView>
  </sheetViews>
  <sheetFormatPr defaultColWidth="9.109375" defaultRowHeight="13.2"/>
  <cols>
    <col min="1" max="1" width="2.6640625" style="8" customWidth="1"/>
    <col min="2" max="2" width="0.44140625" style="8" customWidth="1"/>
    <col min="3" max="3" width="3.6640625" style="8" customWidth="1"/>
    <col min="4" max="4" width="9.6640625" style="42" customWidth="1"/>
    <col min="5" max="5" width="98.5546875" style="8" customWidth="1"/>
    <col min="6" max="6" width="19.5546875" style="8" customWidth="1"/>
    <col min="7" max="7" width="27" style="8" customWidth="1"/>
    <col min="8" max="8" width="4" style="8" customWidth="1"/>
    <col min="9" max="9" width="11.5546875" style="8" bestFit="1" customWidth="1"/>
    <col min="10" max="10" width="9.109375" style="8"/>
    <col min="11" max="11" width="11.109375" style="8" bestFit="1" customWidth="1"/>
    <col min="12" max="12" width="9.109375" style="8"/>
    <col min="13" max="13" width="10.88671875" style="8" bestFit="1" customWidth="1"/>
    <col min="14" max="14" width="13" style="8" bestFit="1" customWidth="1"/>
    <col min="15" max="16384" width="9.109375" style="8"/>
  </cols>
  <sheetData>
    <row r="2" spans="2:13" ht="0.9" customHeight="1">
      <c r="B2" s="7"/>
      <c r="C2" s="7"/>
      <c r="D2" s="1"/>
      <c r="E2" s="7"/>
      <c r="F2" s="7"/>
      <c r="G2" s="7"/>
      <c r="H2" s="7"/>
    </row>
    <row r="3" spans="2:13" s="10" customFormat="1">
      <c r="B3" s="9"/>
      <c r="C3" s="7"/>
      <c r="D3" s="1"/>
      <c r="E3" s="7"/>
      <c r="F3" s="7"/>
      <c r="G3" s="7"/>
      <c r="H3" s="7"/>
    </row>
    <row r="4" spans="2:13" s="10" customFormat="1" ht="27.75" customHeight="1">
      <c r="B4" s="9"/>
      <c r="C4" s="7"/>
      <c r="D4" s="1"/>
      <c r="E4" s="11"/>
      <c r="F4" s="62" t="s">
        <v>11</v>
      </c>
      <c r="G4" s="62"/>
      <c r="H4" s="7"/>
    </row>
    <row r="5" spans="2:13" s="10" customFormat="1" ht="17.399999999999999">
      <c r="B5" s="9"/>
      <c r="C5" s="7"/>
      <c r="D5" s="1"/>
      <c r="E5" s="12"/>
      <c r="F5" s="13"/>
      <c r="G5" s="14"/>
      <c r="H5" s="7"/>
    </row>
    <row r="6" spans="2:13" s="10" customFormat="1" ht="18" customHeight="1">
      <c r="B6" s="9"/>
      <c r="C6" s="7"/>
      <c r="D6" s="3"/>
      <c r="E6" s="12"/>
      <c r="F6" s="67" t="s">
        <v>22</v>
      </c>
      <c r="G6" s="68"/>
      <c r="H6" s="7"/>
      <c r="K6" s="10" t="s">
        <v>12</v>
      </c>
      <c r="L6" s="66" t="str">
        <f>F4</f>
        <v>INVOICE</v>
      </c>
      <c r="M6" s="66"/>
    </row>
    <row r="7" spans="2:13" s="10" customFormat="1" ht="17.399999999999999">
      <c r="B7" s="9"/>
      <c r="C7" s="7"/>
      <c r="D7" s="1"/>
      <c r="E7" s="14"/>
      <c r="F7" s="43"/>
      <c r="G7" s="43" t="s">
        <v>18</v>
      </c>
      <c r="H7" s="7"/>
      <c r="K7" s="15" t="s">
        <v>9</v>
      </c>
      <c r="L7" s="63">
        <v>4555019</v>
      </c>
      <c r="M7" s="63"/>
    </row>
    <row r="8" spans="2:13" s="10" customFormat="1" ht="17.399999999999999">
      <c r="B8" s="9"/>
      <c r="C8" s="7"/>
      <c r="D8" s="2"/>
      <c r="E8" s="16"/>
      <c r="F8" s="43"/>
      <c r="G8" s="43" t="s">
        <v>19</v>
      </c>
      <c r="H8" s="7"/>
      <c r="K8" s="15" t="s">
        <v>11</v>
      </c>
      <c r="L8" s="63">
        <v>32855010</v>
      </c>
      <c r="M8" s="63"/>
    </row>
    <row r="9" spans="2:13" s="10" customFormat="1" ht="17.25" customHeight="1">
      <c r="B9" s="9"/>
      <c r="C9" s="7"/>
      <c r="D9" s="2"/>
      <c r="E9" s="14"/>
      <c r="F9" s="43"/>
      <c r="G9" s="43" t="s">
        <v>20</v>
      </c>
      <c r="H9" s="7"/>
    </row>
    <row r="10" spans="2:13" s="10" customFormat="1" ht="17.25" customHeight="1">
      <c r="B10" s="9"/>
      <c r="C10" s="7"/>
      <c r="D10" s="2"/>
      <c r="E10" s="14"/>
      <c r="F10" s="43"/>
      <c r="G10" s="43" t="s">
        <v>21</v>
      </c>
      <c r="H10" s="7"/>
    </row>
    <row r="11" spans="2:13" s="10" customFormat="1" ht="17.25" customHeight="1">
      <c r="B11" s="9"/>
      <c r="C11" s="7"/>
      <c r="D11" s="2"/>
      <c r="E11" s="14"/>
      <c r="F11" s="17"/>
      <c r="G11" s="18"/>
      <c r="H11" s="7"/>
    </row>
    <row r="12" spans="2:13" s="10" customFormat="1" ht="17.25" customHeight="1">
      <c r="B12" s="9"/>
      <c r="C12" s="7"/>
      <c r="D12" s="2"/>
      <c r="E12" s="11"/>
      <c r="F12" s="7"/>
      <c r="G12" s="11"/>
      <c r="H12" s="7"/>
    </row>
    <row r="13" spans="2:13" s="10" customFormat="1" ht="13.5" customHeight="1">
      <c r="B13" s="9"/>
      <c r="C13" s="7"/>
      <c r="D13" s="2"/>
      <c r="E13" s="14"/>
      <c r="F13" s="7"/>
      <c r="G13" s="19"/>
      <c r="H13" s="7"/>
    </row>
    <row r="14" spans="2:13" s="10" customFormat="1" ht="10.5" hidden="1" customHeight="1">
      <c r="B14" s="9"/>
      <c r="C14" s="7"/>
      <c r="D14" s="20"/>
      <c r="E14" s="14"/>
      <c r="F14" s="2"/>
      <c r="G14" s="21"/>
      <c r="H14" s="7"/>
    </row>
    <row r="15" spans="2:13" s="10" customFormat="1" ht="6.75" hidden="1" customHeight="1">
      <c r="B15" s="9"/>
      <c r="C15" s="7"/>
      <c r="D15" s="7"/>
      <c r="E15" s="7"/>
      <c r="F15" s="1"/>
      <c r="G15" s="1"/>
      <c r="H15" s="7"/>
    </row>
    <row r="16" spans="2:13" s="24" customFormat="1" ht="30" customHeight="1">
      <c r="B16" s="22"/>
      <c r="C16" s="23"/>
      <c r="D16" s="61" t="s">
        <v>16</v>
      </c>
      <c r="E16" s="61"/>
      <c r="F16" s="64" t="s">
        <v>27</v>
      </c>
      <c r="G16" s="64"/>
      <c r="H16" s="23"/>
    </row>
    <row r="17" spans="2:8" ht="21.75" customHeight="1">
      <c r="B17" s="7"/>
      <c r="C17" s="7"/>
      <c r="D17" s="25" t="s">
        <v>5</v>
      </c>
      <c r="E17" s="30" t="s">
        <v>55</v>
      </c>
      <c r="F17" s="65" t="str">
        <f ca="1">"Q" &amp; TEXT(TODAY(), "YYYYMMDD") &amp; RANDBETWEEN(1000, 9999)</f>
        <v>Q202510204814</v>
      </c>
      <c r="G17" s="65"/>
      <c r="H17" s="7"/>
    </row>
    <row r="18" spans="2:8" ht="22.5" customHeight="1">
      <c r="B18" s="7"/>
      <c r="C18" s="7"/>
      <c r="D18" s="25" t="s">
        <v>4</v>
      </c>
      <c r="E18" s="26" t="s">
        <v>58</v>
      </c>
      <c r="F18" s="3"/>
      <c r="G18" s="27"/>
      <c r="H18" s="7"/>
    </row>
    <row r="19" spans="2:8" ht="21.75" customHeight="1">
      <c r="B19" s="7"/>
      <c r="C19" s="7"/>
      <c r="D19" s="28" t="s">
        <v>14</v>
      </c>
      <c r="E19" s="26" t="s">
        <v>56</v>
      </c>
      <c r="F19" s="17" t="s">
        <v>17</v>
      </c>
      <c r="G19" s="29"/>
      <c r="H19" s="7"/>
    </row>
    <row r="20" spans="2:8" ht="21.75" customHeight="1">
      <c r="B20" s="7"/>
      <c r="C20" s="7"/>
      <c r="D20" s="28" t="s">
        <v>10</v>
      </c>
      <c r="E20" s="30"/>
      <c r="F20" s="43" t="s">
        <v>26</v>
      </c>
      <c r="G20" s="44" t="s">
        <v>28</v>
      </c>
      <c r="H20" s="7"/>
    </row>
    <row r="21" spans="2:8" ht="22.5" customHeight="1">
      <c r="B21" s="7"/>
      <c r="C21" s="7"/>
      <c r="D21" s="28" t="s">
        <v>2</v>
      </c>
      <c r="E21" s="69" t="s">
        <v>57</v>
      </c>
      <c r="F21" s="45" t="s">
        <v>23</v>
      </c>
      <c r="G21" s="44" t="s">
        <v>24</v>
      </c>
      <c r="H21" s="7"/>
    </row>
    <row r="22" spans="2:8" ht="22.5" customHeight="1">
      <c r="B22" s="7"/>
      <c r="C22" s="7"/>
      <c r="D22" s="28" t="s">
        <v>3</v>
      </c>
      <c r="E22" s="59"/>
      <c r="F22" s="3"/>
      <c r="G22" s="44" t="s">
        <v>25</v>
      </c>
      <c r="H22" s="7"/>
    </row>
    <row r="23" spans="2:8" ht="19.5" customHeight="1">
      <c r="B23" s="7"/>
      <c r="C23" s="7"/>
      <c r="D23" s="31" t="s">
        <v>7</v>
      </c>
      <c r="E23" s="30"/>
      <c r="F23" s="46" t="s">
        <v>6</v>
      </c>
      <c r="G23" s="47">
        <f ca="1">TODAY()</f>
        <v>45950</v>
      </c>
      <c r="H23" s="7"/>
    </row>
    <row r="24" spans="2:8" ht="13.8" thickBot="1">
      <c r="B24" s="7"/>
      <c r="C24" s="7"/>
      <c r="D24" s="1"/>
      <c r="E24" s="7"/>
      <c r="F24" s="7"/>
      <c r="G24" s="7"/>
      <c r="H24" s="7"/>
    </row>
    <row r="25" spans="2:8" s="32" customFormat="1" ht="24.9" customHeight="1">
      <c r="B25" s="6"/>
      <c r="C25" s="6"/>
      <c r="D25" s="5" t="s">
        <v>1</v>
      </c>
      <c r="E25" s="5" t="s">
        <v>0</v>
      </c>
      <c r="F25" s="5" t="s">
        <v>13</v>
      </c>
      <c r="G25" s="4" t="s">
        <v>15</v>
      </c>
      <c r="H25" s="6"/>
    </row>
    <row r="26" spans="2:8" s="32" customFormat="1" ht="17.399999999999999">
      <c r="B26" s="6"/>
      <c r="C26" s="2"/>
      <c r="D26" s="33"/>
      <c r="E26" s="49" t="s">
        <v>51</v>
      </c>
      <c r="F26" s="50"/>
      <c r="G26" s="35" t="str">
        <f t="shared" ref="G26:G40" si="0">IF(F26&lt;&gt;"",IF(D26&lt;&gt;"",+F26*D26,""),"")</f>
        <v/>
      </c>
      <c r="H26" s="6"/>
    </row>
    <row r="27" spans="2:8" s="32" customFormat="1" ht="20.100000000000001" customHeight="1">
      <c r="B27" s="6"/>
      <c r="C27" s="2"/>
      <c r="D27" s="36"/>
      <c r="E27" s="48"/>
      <c r="F27" s="50"/>
      <c r="G27" s="35" t="str">
        <f>IF(F27&lt;&gt;"",IF(D27&lt;&gt;"",+F27*D27,""),"")</f>
        <v/>
      </c>
      <c r="H27" s="6"/>
    </row>
    <row r="28" spans="2:8" s="32" customFormat="1" ht="20.100000000000001" customHeight="1">
      <c r="B28" s="6"/>
      <c r="C28" s="2"/>
      <c r="D28" s="33">
        <v>1</v>
      </c>
      <c r="E28" s="48" t="s">
        <v>52</v>
      </c>
      <c r="F28" s="50">
        <v>35</v>
      </c>
      <c r="G28" s="35">
        <f t="shared" si="0"/>
        <v>35</v>
      </c>
      <c r="H28" s="6"/>
    </row>
    <row r="29" spans="2:8" s="32" customFormat="1" ht="20.100000000000001" customHeight="1">
      <c r="B29" s="6"/>
      <c r="C29" s="2"/>
      <c r="D29" s="33">
        <v>1</v>
      </c>
      <c r="E29" s="48" t="s">
        <v>53</v>
      </c>
      <c r="F29" s="50">
        <v>5</v>
      </c>
      <c r="G29" s="35">
        <f>D:D*F:F</f>
        <v>5</v>
      </c>
      <c r="H29" s="6"/>
    </row>
    <row r="30" spans="2:8" s="32" customFormat="1" ht="20.100000000000001" customHeight="1">
      <c r="B30" s="6"/>
      <c r="C30" s="2"/>
      <c r="D30" s="33">
        <v>1</v>
      </c>
      <c r="E30" s="48" t="s">
        <v>54</v>
      </c>
      <c r="F30" s="50">
        <v>10</v>
      </c>
      <c r="G30" s="35">
        <f>PRODUCT(D30:F30)</f>
        <v>10</v>
      </c>
      <c r="H30" s="6"/>
    </row>
    <row r="31" spans="2:8" s="32" customFormat="1" ht="17.399999999999999">
      <c r="B31" s="6"/>
      <c r="C31" s="2"/>
      <c r="D31" s="33">
        <v>5</v>
      </c>
      <c r="E31" s="48" t="s">
        <v>51</v>
      </c>
      <c r="F31" s="50">
        <v>5</v>
      </c>
      <c r="G31" s="35">
        <f>PRODUCT(D31:F31)</f>
        <v>25</v>
      </c>
      <c r="H31" s="6"/>
    </row>
    <row r="32" spans="2:8" s="32" customFormat="1" ht="15" customHeight="1">
      <c r="B32" s="6"/>
      <c r="C32" s="2"/>
      <c r="D32" s="33"/>
      <c r="E32" s="48"/>
      <c r="F32" s="50"/>
      <c r="G32" s="35" t="str">
        <f t="shared" si="0"/>
        <v/>
      </c>
      <c r="H32" s="6"/>
    </row>
    <row r="33" spans="2:14" s="32" customFormat="1" ht="20.100000000000001" customHeight="1">
      <c r="B33" s="6"/>
      <c r="C33" s="2"/>
      <c r="D33" s="33"/>
      <c r="E33" s="48"/>
      <c r="F33" s="50"/>
      <c r="G33" s="35" t="str">
        <f t="shared" si="0"/>
        <v/>
      </c>
      <c r="H33" s="6"/>
      <c r="K33" s="32" t="s">
        <v>29</v>
      </c>
    </row>
    <row r="34" spans="2:14" s="32" customFormat="1" ht="20.100000000000001" customHeight="1">
      <c r="B34" s="6"/>
      <c r="C34" s="2"/>
      <c r="D34" s="33"/>
      <c r="E34" s="49"/>
      <c r="F34" s="50"/>
      <c r="G34" s="35" t="str">
        <f t="shared" si="0"/>
        <v/>
      </c>
      <c r="H34" s="6"/>
    </row>
    <row r="35" spans="2:14" s="32" customFormat="1" ht="20.100000000000001" customHeight="1">
      <c r="B35" s="6"/>
      <c r="C35" s="2"/>
      <c r="D35" s="33"/>
      <c r="E35" s="48"/>
      <c r="F35" s="50"/>
      <c r="G35" s="35" t="str">
        <f t="shared" si="0"/>
        <v/>
      </c>
      <c r="H35" s="6"/>
      <c r="K35" s="32" t="s">
        <v>30</v>
      </c>
    </row>
    <row r="36" spans="2:14" s="32" customFormat="1" ht="20.100000000000001" customHeight="1">
      <c r="B36" s="6"/>
      <c r="C36" s="2"/>
      <c r="D36" s="33"/>
      <c r="E36" s="48"/>
      <c r="F36" s="50"/>
      <c r="G36" s="35" t="str">
        <f t="shared" si="0"/>
        <v/>
      </c>
      <c r="H36" s="6"/>
      <c r="K36" s="32" t="s">
        <v>31</v>
      </c>
    </row>
    <row r="37" spans="2:14" s="32" customFormat="1" ht="20.100000000000001" customHeight="1">
      <c r="B37" s="6"/>
      <c r="C37" s="2"/>
      <c r="D37" s="33"/>
      <c r="E37" s="48"/>
      <c r="F37" s="50"/>
      <c r="G37" s="35" t="str">
        <f t="shared" si="0"/>
        <v/>
      </c>
      <c r="H37" s="6"/>
      <c r="K37" s="32" t="s">
        <v>32</v>
      </c>
    </row>
    <row r="38" spans="2:14" s="32" customFormat="1" ht="20.100000000000001" customHeight="1">
      <c r="B38" s="6"/>
      <c r="C38" s="2"/>
      <c r="D38" s="33"/>
      <c r="E38" s="48"/>
      <c r="F38" s="50"/>
      <c r="G38" s="35" t="str">
        <f t="shared" si="0"/>
        <v/>
      </c>
      <c r="H38" s="6"/>
      <c r="K38" s="32" t="s">
        <v>33</v>
      </c>
    </row>
    <row r="39" spans="2:14" s="32" customFormat="1" ht="20.100000000000001" customHeight="1">
      <c r="B39" s="6"/>
      <c r="C39" s="2"/>
      <c r="D39" s="33"/>
      <c r="E39" s="48"/>
      <c r="F39" s="50"/>
      <c r="G39" s="35" t="str">
        <f t="shared" si="0"/>
        <v/>
      </c>
      <c r="H39" s="6"/>
      <c r="K39" s="32" t="s">
        <v>34</v>
      </c>
    </row>
    <row r="40" spans="2:14" s="32" customFormat="1" ht="20.100000000000001" customHeight="1">
      <c r="B40" s="6"/>
      <c r="C40" s="2"/>
      <c r="D40" s="33"/>
      <c r="E40" s="48"/>
      <c r="F40" s="50"/>
      <c r="G40" s="35" t="str">
        <f t="shared" si="0"/>
        <v/>
      </c>
      <c r="H40" s="6"/>
    </row>
    <row r="41" spans="2:14" s="32" customFormat="1" ht="20.100000000000001" customHeight="1">
      <c r="B41" s="6"/>
      <c r="C41" s="2"/>
      <c r="D41" s="33"/>
      <c r="E41" s="48"/>
      <c r="F41" s="50"/>
      <c r="G41" s="35"/>
      <c r="H41" s="6"/>
    </row>
    <row r="42" spans="2:14" s="32" customFormat="1" ht="20.100000000000001" customHeight="1">
      <c r="B42" s="6"/>
      <c r="C42" s="2"/>
      <c r="D42" s="33"/>
      <c r="E42" s="48"/>
      <c r="F42" s="50"/>
      <c r="G42" s="35"/>
      <c r="H42" s="6"/>
      <c r="K42" s="32" t="s">
        <v>35</v>
      </c>
    </row>
    <row r="43" spans="2:14" s="32" customFormat="1" ht="20.100000000000001" customHeight="1">
      <c r="B43" s="6"/>
      <c r="C43" s="2"/>
      <c r="D43" s="33"/>
      <c r="E43" s="49"/>
      <c r="F43" s="50"/>
      <c r="G43" s="35"/>
      <c r="H43" s="6"/>
      <c r="K43" s="32" t="s">
        <v>36</v>
      </c>
    </row>
    <row r="44" spans="2:14" s="32" customFormat="1" ht="20.100000000000001" customHeight="1">
      <c r="B44" s="6"/>
      <c r="C44" s="2"/>
      <c r="D44" s="33"/>
      <c r="E44" s="48"/>
      <c r="F44" s="50"/>
      <c r="G44" s="35"/>
      <c r="H44" s="6"/>
      <c r="K44" s="32" t="s">
        <v>37</v>
      </c>
    </row>
    <row r="45" spans="2:14" s="32" customFormat="1" ht="20.100000000000001" customHeight="1">
      <c r="B45" s="6"/>
      <c r="C45" s="2"/>
      <c r="D45" s="33"/>
      <c r="E45" s="48"/>
      <c r="F45" s="50"/>
      <c r="G45" s="35"/>
      <c r="H45" s="6"/>
      <c r="K45" s="32" t="s">
        <v>38</v>
      </c>
    </row>
    <row r="46" spans="2:14" s="32" customFormat="1" ht="20.100000000000001" customHeight="1">
      <c r="B46" s="6"/>
      <c r="C46" s="2"/>
      <c r="D46" s="33"/>
      <c r="E46" s="48"/>
      <c r="F46" s="50"/>
      <c r="G46" s="35"/>
      <c r="H46" s="6"/>
      <c r="K46" s="32" t="s">
        <v>39</v>
      </c>
    </row>
    <row r="47" spans="2:14" s="32" customFormat="1" ht="20.100000000000001" customHeight="1">
      <c r="B47" s="6"/>
      <c r="C47" s="2"/>
      <c r="D47" s="33"/>
      <c r="E47" s="48"/>
      <c r="F47" s="50"/>
      <c r="G47" s="35"/>
      <c r="H47" s="6"/>
      <c r="N47" s="37"/>
    </row>
    <row r="48" spans="2:14" s="32" customFormat="1" ht="20.100000000000001" customHeight="1">
      <c r="B48" s="6"/>
      <c r="C48" s="2"/>
      <c r="D48" s="33"/>
      <c r="E48" s="48"/>
      <c r="F48" s="50"/>
      <c r="G48" s="35"/>
      <c r="H48" s="6"/>
    </row>
    <row r="49" spans="2:9" s="32" customFormat="1" ht="20.100000000000001" customHeight="1">
      <c r="B49" s="6"/>
      <c r="C49" s="2"/>
      <c r="D49" s="30"/>
      <c r="E49" s="30"/>
      <c r="F49" s="34"/>
      <c r="G49" s="35" t="str">
        <f>IF(F49&lt;&gt;"",IF(D49&lt;&gt;"",+F49*D49,""),"")</f>
        <v/>
      </c>
      <c r="H49" s="6"/>
    </row>
    <row r="50" spans="2:9" s="32" customFormat="1" ht="24.9" customHeight="1" thickBot="1">
      <c r="B50" s="6"/>
      <c r="C50" s="6"/>
      <c r="D50" s="6"/>
      <c r="E50" s="38"/>
      <c r="F50" s="39" t="s">
        <v>8</v>
      </c>
      <c r="G50" s="39">
        <f>SUM(G26:G49)</f>
        <v>75</v>
      </c>
      <c r="H50" s="6"/>
    </row>
    <row r="51" spans="2:9" s="32" customFormat="1" ht="24.9" customHeight="1">
      <c r="B51" s="6"/>
      <c r="C51" s="6"/>
      <c r="D51" s="6"/>
      <c r="E51" s="51" t="s">
        <v>40</v>
      </c>
      <c r="F51" s="52"/>
      <c r="G51" s="52"/>
      <c r="H51" s="52"/>
    </row>
    <row r="52" spans="2:9" s="32" customFormat="1" ht="15">
      <c r="B52" s="6"/>
      <c r="C52" s="6"/>
      <c r="D52" s="6"/>
      <c r="E52" s="53" t="s">
        <v>41</v>
      </c>
      <c r="F52" s="54"/>
      <c r="G52" s="52"/>
      <c r="H52" s="52"/>
    </row>
    <row r="53" spans="2:9" ht="15">
      <c r="B53" s="7"/>
      <c r="C53" s="7"/>
      <c r="D53" s="40"/>
      <c r="E53" s="55" t="s">
        <v>42</v>
      </c>
      <c r="F53" s="56"/>
      <c r="G53"/>
      <c r="H53"/>
      <c r="I53" s="32"/>
    </row>
    <row r="54" spans="2:9" ht="15">
      <c r="B54" s="7"/>
      <c r="C54" s="7"/>
      <c r="D54" s="1"/>
      <c r="E54" s="55" t="s">
        <v>43</v>
      </c>
      <c r="F54" s="56"/>
      <c r="G54"/>
      <c r="H54"/>
      <c r="I54" s="32"/>
    </row>
    <row r="55" spans="2:9" ht="15">
      <c r="B55" s="7"/>
      <c r="C55" s="7"/>
      <c r="D55" s="1"/>
      <c r="E55" s="55" t="s">
        <v>44</v>
      </c>
      <c r="F55" s="56"/>
      <c r="G55"/>
      <c r="H55"/>
      <c r="I55" s="32"/>
    </row>
    <row r="56" spans="2:9" ht="15">
      <c r="B56" s="7"/>
      <c r="C56" s="7"/>
      <c r="D56" s="1"/>
      <c r="E56" s="55" t="s">
        <v>45</v>
      </c>
      <c r="F56" s="56"/>
      <c r="G56"/>
      <c r="H56"/>
      <c r="I56" s="32"/>
    </row>
    <row r="57" spans="2:9" ht="15">
      <c r="B57" s="7"/>
      <c r="C57" s="7"/>
      <c r="D57" s="1"/>
      <c r="E57" s="55" t="s">
        <v>46</v>
      </c>
      <c r="F57" s="56"/>
      <c r="G57"/>
      <c r="H57"/>
      <c r="I57" s="32"/>
    </row>
    <row r="58" spans="2:9" ht="15">
      <c r="B58" s="7"/>
      <c r="C58" s="7"/>
      <c r="D58" s="1"/>
      <c r="E58"/>
      <c r="F58"/>
      <c r="G58"/>
      <c r="H58"/>
      <c r="I58" s="32"/>
    </row>
    <row r="59" spans="2:9" ht="15">
      <c r="B59" s="7"/>
      <c r="C59" s="7"/>
      <c r="D59" s="1"/>
      <c r="E59" s="60" t="s">
        <v>47</v>
      </c>
      <c r="F59" s="60"/>
      <c r="G59"/>
      <c r="H59"/>
      <c r="I59" s="32"/>
    </row>
    <row r="60" spans="2:9" ht="15">
      <c r="B60" s="7"/>
      <c r="C60" s="7"/>
      <c r="D60" s="1"/>
      <c r="E60" s="57" t="s">
        <v>48</v>
      </c>
      <c r="F60"/>
      <c r="G60"/>
      <c r="H60"/>
      <c r="I60" s="32"/>
    </row>
    <row r="61" spans="2:9" ht="15">
      <c r="B61" s="7"/>
      <c r="C61" s="7"/>
      <c r="D61" s="1"/>
      <c r="E61"/>
      <c r="F61"/>
      <c r="G61"/>
      <c r="H61"/>
      <c r="I61" s="32"/>
    </row>
    <row r="62" spans="2:9" ht="17.399999999999999">
      <c r="B62" s="7"/>
      <c r="C62" s="7"/>
      <c r="D62" s="2"/>
      <c r="E62"/>
      <c r="F62"/>
      <c r="G62"/>
      <c r="H62"/>
      <c r="I62" s="32"/>
    </row>
    <row r="63" spans="2:9" ht="15.6" thickBot="1">
      <c r="B63" s="41"/>
      <c r="C63" s="7"/>
      <c r="D63" s="7"/>
      <c r="E63"/>
      <c r="F63"/>
      <c r="G63"/>
      <c r="H63"/>
      <c r="I63" s="32"/>
    </row>
    <row r="64" spans="2:9" ht="15.6" thickTop="1">
      <c r="C64"/>
      <c r="D64"/>
      <c r="E64" s="58" t="s">
        <v>49</v>
      </c>
      <c r="F64"/>
      <c r="G64"/>
      <c r="H64"/>
      <c r="I64" s="32"/>
    </row>
    <row r="65" spans="3:9" ht="15">
      <c r="C65"/>
      <c r="D65"/>
      <c r="E65"/>
      <c r="F65"/>
      <c r="G65"/>
      <c r="H65"/>
      <c r="I65" s="32"/>
    </row>
    <row r="66" spans="3:9" ht="15">
      <c r="C66"/>
      <c r="D66"/>
      <c r="E66" s="57" t="s">
        <v>50</v>
      </c>
      <c r="F66"/>
      <c r="G66"/>
      <c r="H66"/>
      <c r="I66" s="32"/>
    </row>
  </sheetData>
  <mergeCells count="9">
    <mergeCell ref="E59:F59"/>
    <mergeCell ref="D16:E16"/>
    <mergeCell ref="F4:G4"/>
    <mergeCell ref="L7:M7"/>
    <mergeCell ref="L8:M8"/>
    <mergeCell ref="F16:G16"/>
    <mergeCell ref="F17:G17"/>
    <mergeCell ref="L6:M6"/>
    <mergeCell ref="F6:G6"/>
  </mergeCells>
  <phoneticPr fontId="0" type="noConversion"/>
  <printOptions horizontalCentered="1"/>
  <pageMargins left="0.35433070866141703" right="0.35433070866141703" top="0.66929133858267698" bottom="0.511811023622047" header="0.511811023622047" footer="0.39370078740157499"/>
  <pageSetup paperSize="9" scale="62" orientation="portrait" cellComments="atEnd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2" r:id="rId4" name="ENM">
              <controlPr defaultSize="0" autoFill="0" autoLine="0" autoPict="0" macro="[0]!SQ_EmpInfo">
                <anchor moveWithCells="1">
                  <from>
                    <xdr:col>4</xdr:col>
                    <xdr:colOff>0</xdr:colOff>
                    <xdr:row>19</xdr:row>
                    <xdr:rowOff>22860</xdr:rowOff>
                  </from>
                  <to>
                    <xdr:col>4</xdr:col>
                    <xdr:colOff>1706880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5" name="Button 1242">
              <controlPr defaultSize="0" print="0" autoFill="0" autoPict="0" macro="[0]!NewQoute">
                <anchor moveWithCells="1" sizeWithCells="1">
                  <from>
                    <xdr:col>8</xdr:col>
                    <xdr:colOff>388620</xdr:colOff>
                    <xdr:row>24</xdr:row>
                    <xdr:rowOff>137160</xdr:rowOff>
                  </from>
                  <to>
                    <xdr:col>11</xdr:col>
                    <xdr:colOff>99060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6" name="Button 1243">
              <controlPr defaultSize="0" print="0" autoFill="0" autoPict="0" macro="[0]!NewInvoice">
                <anchor moveWithCells="1" sizeWithCells="1">
                  <from>
                    <xdr:col>11</xdr:col>
                    <xdr:colOff>152400</xdr:colOff>
                    <xdr:row>24</xdr:row>
                    <xdr:rowOff>137160</xdr:rowOff>
                  </from>
                  <to>
                    <xdr:col>13</xdr:col>
                    <xdr:colOff>769620</xdr:colOff>
                    <xdr:row>26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7" name="Button 1245">
              <controlPr defaultSize="0" print="0" autoFill="0" autoPict="0" macro="[0]!SaveMe">
                <anchor moveWithCells="1" sizeWithCells="1">
                  <from>
                    <xdr:col>8</xdr:col>
                    <xdr:colOff>373380</xdr:colOff>
                    <xdr:row>26</xdr:row>
                    <xdr:rowOff>106680</xdr:rowOff>
                  </from>
                  <to>
                    <xdr:col>11</xdr:col>
                    <xdr:colOff>99060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8" name="Button 1247">
              <controlPr defaultSize="0" print="0" autoFill="0" autoPict="0" macro="[0]!PRINTM">
                <anchor moveWithCells="1" sizeWithCells="1">
                  <from>
                    <xdr:col>11</xdr:col>
                    <xdr:colOff>160020</xdr:colOff>
                    <xdr:row>26</xdr:row>
                    <xdr:rowOff>137160</xdr:rowOff>
                  </from>
                  <to>
                    <xdr:col>13</xdr:col>
                    <xdr:colOff>746760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9" name="Button 1248">
              <controlPr defaultSize="0" print="0" autoFill="0" autoPict="0" macro="[0]!closepage">
                <anchor moveWithCells="1" sizeWithCells="1">
                  <from>
                    <xdr:col>11</xdr:col>
                    <xdr:colOff>175260</xdr:colOff>
                    <xdr:row>22</xdr:row>
                    <xdr:rowOff>30480</xdr:rowOff>
                  </from>
                  <to>
                    <xdr:col>13</xdr:col>
                    <xdr:colOff>754380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10" name="Button 1249">
              <controlPr defaultSize="0" print="0" autoFill="0" autoPict="0" macro="[0]!CLEARDOC">
                <anchor moveWithCells="1" sizeWithCells="1">
                  <from>
                    <xdr:col>8</xdr:col>
                    <xdr:colOff>373380</xdr:colOff>
                    <xdr:row>22</xdr:row>
                    <xdr:rowOff>22860</xdr:rowOff>
                  </from>
                  <to>
                    <xdr:col>11</xdr:col>
                    <xdr:colOff>106680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11" name="Button 1252">
              <controlPr defaultSize="0" print="0" autoFill="0" autoPict="0" macro="[0]!usd">
                <anchor moveWithCells="1" sizeWithCells="1">
                  <from>
                    <xdr:col>8</xdr:col>
                    <xdr:colOff>365760</xdr:colOff>
                    <xdr:row>20</xdr:row>
                    <xdr:rowOff>121920</xdr:rowOff>
                  </from>
                  <to>
                    <xdr:col>11</xdr:col>
                    <xdr:colOff>144780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12" name="Button 1254">
              <controlPr defaultSize="0" print="0" autoFill="0" autoPict="0" macro="[0]!rtgs">
                <anchor moveWithCells="1" sizeWithCells="1">
                  <from>
                    <xdr:col>11</xdr:col>
                    <xdr:colOff>182880</xdr:colOff>
                    <xdr:row>20</xdr:row>
                    <xdr:rowOff>121920</xdr:rowOff>
                  </from>
                  <to>
                    <xdr:col>13</xdr:col>
                    <xdr:colOff>746760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13" name="Button 1255">
              <controlPr defaultSize="0" print="0" autoFill="0" autoPict="0" macro="[0]!MHELP">
                <anchor moveWithCells="1" sizeWithCells="1">
                  <from>
                    <xdr:col>8</xdr:col>
                    <xdr:colOff>373380</xdr:colOff>
                    <xdr:row>28</xdr:row>
                    <xdr:rowOff>0</xdr:rowOff>
                  </from>
                  <to>
                    <xdr:col>13</xdr:col>
                    <xdr:colOff>754380</xdr:colOff>
                    <xdr:row>29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Proforma</vt:lpstr>
      <vt:lpstr>Proforma!Display_Area_2</vt:lpstr>
      <vt:lpstr>Proforma!NO</vt:lpstr>
      <vt:lpstr>Proforma!Print_Area</vt:lpstr>
    </vt:vector>
  </TitlesOfParts>
  <Company>PINNACLE MICRO (PTY)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Admire</dc:creator>
  <cp:lastModifiedBy>DELL</cp:lastModifiedBy>
  <cp:lastPrinted>2025-09-30T00:36:05Z</cp:lastPrinted>
  <dcterms:created xsi:type="dcterms:W3CDTF">1996-11-06T10:47:35Z</dcterms:created>
  <dcterms:modified xsi:type="dcterms:W3CDTF">2025-10-20T00:56:14Z</dcterms:modified>
</cp:coreProperties>
</file>